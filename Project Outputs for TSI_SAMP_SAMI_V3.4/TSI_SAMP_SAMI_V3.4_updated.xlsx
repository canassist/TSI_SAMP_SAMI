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cuments\CanAssist\Altium\TSI_V3.0 REV_1\Project Outputs for TSI_SAMP_SAMI_V3.4\"/>
    </mc:Choice>
  </mc:AlternateContent>
  <xr:revisionPtr revIDLastSave="0" documentId="13_ncr:1_{98A613F1-7BE8-40F4-959D-6404DA104F8E}" xr6:coauthVersionLast="47" xr6:coauthVersionMax="47" xr10:uidLastSave="{00000000-0000-0000-0000-000000000000}"/>
  <bookViews>
    <workbookView xWindow="-120" yWindow="-120" windowWidth="38640" windowHeight="21120" xr2:uid="{ADEFC079-FEA0-4881-9FAA-1DE900368E36}"/>
  </bookViews>
  <sheets>
    <sheet name="TSI_SAMP_SAMI_V3.4_updated" sheetId="1" r:id="rId1"/>
  </sheets>
  <definedNames>
    <definedName name="_xlnm.Print_Titles" localSheetId="0">TSI_SAMP_SAMI_V3.4_updated!$1:$1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1" l="1"/>
  <c r="K68" i="1" s="1"/>
</calcChain>
</file>

<file path=xl/sharedStrings.xml><?xml version="1.0" encoding="utf-8"?>
<sst xmlns="http://schemas.openxmlformats.org/spreadsheetml/2006/main" count="527" uniqueCount="360">
  <si>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</si>
  <si>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</si>
  <si>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</si>
  <si>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</si>
  <si>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</si>
  <si>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</si>
  <si>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</si>
  <si>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</si>
  <si>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</si>
  <si>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</si>
  <si>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</si>
  <si>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Supplier Stock 1</t>
  </si>
  <si>
    <t/>
  </si>
  <si>
    <t>470pF</t>
  </si>
  <si>
    <t>470 pF ±10% 50V Ceramic Capacitor X7R 0603 (1608 Metric)</t>
  </si>
  <si>
    <t>C1, C2, C3, C4</t>
  </si>
  <si>
    <t>Yageo Group</t>
  </si>
  <si>
    <t>CC0603KRX7R9BB471</t>
  </si>
  <si>
    <t>Volume Production</t>
  </si>
  <si>
    <t>DigiKey</t>
  </si>
  <si>
    <t>311-1078-1-ND</t>
  </si>
  <si>
    <t>0.1uF</t>
  </si>
  <si>
    <t>0603 100 nF 25 V -20 / +80 % Tolerance Y5V SMT Multilayer Ceramic Capacitor</t>
  </si>
  <si>
    <t>C5, C6, C7, C8, C10, C18, C23, C26, C34, C40, C43, C44, C45, C46, C47, C50, C55, C56</t>
  </si>
  <si>
    <t>KYOCERA AVX</t>
  </si>
  <si>
    <t>KGM15AV51E104ZT</t>
  </si>
  <si>
    <t>478-KGM15AV51E104ZTCT-ND</t>
  </si>
  <si>
    <t>10uF</t>
  </si>
  <si>
    <t>KEMET - C0603C106M9PACTU - CAP, MLCC, X5R, 10UF, 6.3V, 0603</t>
  </si>
  <si>
    <t>C9, C12, C15, C21, C25, C35, C38, C39, C63</t>
  </si>
  <si>
    <t>Murata</t>
  </si>
  <si>
    <t>GRT188C81A106ME13D</t>
  </si>
  <si>
    <t>490-12283-1-ND</t>
  </si>
  <si>
    <t>1nF</t>
  </si>
  <si>
    <t>CAP CER 0603 1NF 16V X7R 10%</t>
  </si>
  <si>
    <t>C11</t>
  </si>
  <si>
    <t>KEMET</t>
  </si>
  <si>
    <t>C0603C102K4RECAUTO</t>
  </si>
  <si>
    <t>399-17878-1-ND</t>
  </si>
  <si>
    <t>1uF</t>
  </si>
  <si>
    <t>0603 1 uF 50 V ±10% Tolerance X5R Surface Mount Multilayer Ceramic Capacitor</t>
  </si>
  <si>
    <t>C13, C14, C20, C24, C27, C29, C30, C31, C57</t>
  </si>
  <si>
    <t>Taiyo Yuden</t>
  </si>
  <si>
    <t>UMK107BJ105KA-T</t>
  </si>
  <si>
    <t>587-2400-1-ND</t>
  </si>
  <si>
    <t>10µF ±20% 16V Ceramic Capacitor X7R 1206 (3216 Metric)</t>
  </si>
  <si>
    <t>C16, C17</t>
  </si>
  <si>
    <t>Samsung Electro-Mechanics</t>
  </si>
  <si>
    <t>CL31B106MOHNNNE</t>
  </si>
  <si>
    <t>1276-6641-1-ND</t>
  </si>
  <si>
    <t>330uF</t>
  </si>
  <si>
    <t>330µF 50V Aluminum Electrolytic Capacitors Radial, Can - SMD 120mOhm @ 100kHz 5000 Hrs @ 105°C</t>
  </si>
  <si>
    <t>C19, C22</t>
  </si>
  <si>
    <t>Wurth Elektronik</t>
  </si>
  <si>
    <t>865080557015</t>
  </si>
  <si>
    <t>Unknown</t>
  </si>
  <si>
    <t>732-8514-1-ND</t>
  </si>
  <si>
    <t>2.2uF</t>
  </si>
  <si>
    <t>2.2µF ±10% 16V Ceramic Capacitor X7R 0603 (1608 Metric)</t>
  </si>
  <si>
    <t>C28</t>
  </si>
  <si>
    <t>GRM188R71A225KE15D</t>
  </si>
  <si>
    <t>Mouser</t>
  </si>
  <si>
    <t>81-GRM188R71A225KE15</t>
  </si>
  <si>
    <t>T491A106K010AT</t>
  </si>
  <si>
    <t>Capacitor, Tantalum, 10 uF, +/- 10%, 10 V, -55 to 125 degC, 2-Pin SMD (1206), RoHS, Tape and Reel</t>
  </si>
  <si>
    <t>C32, C33</t>
  </si>
  <si>
    <t>RS (Formerly Allied Electronics)</t>
  </si>
  <si>
    <t>70095780</t>
  </si>
  <si>
    <t>0.01uF</t>
  </si>
  <si>
    <t>CAP CER SMD 0603 .01UF 5% X7R 50</t>
  </si>
  <si>
    <t>C36, C37</t>
  </si>
  <si>
    <t>C0603C103J5REC7411</t>
  </si>
  <si>
    <t>399-17568-1-ND</t>
  </si>
  <si>
    <t>CAP 22pF</t>
  </si>
  <si>
    <t>22 pF ±5% 250V Ceramic Capacitor C0G, NP0 0603 (1608 Metric)</t>
  </si>
  <si>
    <t>C41, C42</t>
  </si>
  <si>
    <t>AC0603JRNPOYBN220</t>
  </si>
  <si>
    <t>311-3095-1-ND</t>
  </si>
  <si>
    <t>15pF</t>
  </si>
  <si>
    <t>C48, C49</t>
  </si>
  <si>
    <t>KGM15ACG1H150JT</t>
  </si>
  <si>
    <t>478-KGM15ACG1H150JTCT-ND</t>
  </si>
  <si>
    <t>3.3nF</t>
  </si>
  <si>
    <t>0603 3.3nF SMT Multilayer Ceramic Capacitor</t>
  </si>
  <si>
    <t>C61, C64</t>
  </si>
  <si>
    <t>C0603C332J5RACTU</t>
  </si>
  <si>
    <t>399-C0603C332J5RACTUCT-ND</t>
  </si>
  <si>
    <t>0.047uF</t>
  </si>
  <si>
    <t>CAP CER 0.047UF 50V X7R 0603</t>
  </si>
  <si>
    <t>C62</t>
  </si>
  <si>
    <t>C0603C473K5RACTU</t>
  </si>
  <si>
    <t>399-C0603C473K5RACTUCT-ND</t>
  </si>
  <si>
    <t>0.47uF</t>
  </si>
  <si>
    <t>0.47 µF ±20% 25V Ceramic Capacitor X5R 0603 (1608 Metric)</t>
  </si>
  <si>
    <t>C65, C66</t>
  </si>
  <si>
    <t>885012106020</t>
  </si>
  <si>
    <t>732-7917-1-ND</t>
  </si>
  <si>
    <t>TPD2E007DCKR</t>
  </si>
  <si>
    <t>TVS DIODE 13V SC70-3</t>
  </si>
  <si>
    <t>D1, D2</t>
  </si>
  <si>
    <t>Texas Instruments</t>
  </si>
  <si>
    <t>Arrow Electronics</t>
  </si>
  <si>
    <t>20V 3A SCHOTTKY</t>
  </si>
  <si>
    <t>Diode Schottky 20V 3A 2-Pin SMB T/R</t>
  </si>
  <si>
    <t>D3</t>
  </si>
  <si>
    <t>Diodes Inc.</t>
  </si>
  <si>
    <t>B320B-13-F</t>
  </si>
  <si>
    <t>B320B-FDICT-ND</t>
  </si>
  <si>
    <t>GREEN_0603</t>
  </si>
  <si>
    <t>LED GREEN CLEAR SMD</t>
  </si>
  <si>
    <t>D4</t>
  </si>
  <si>
    <t>Lite-On</t>
  </si>
  <si>
    <t>LTST-C191KGKT</t>
  </si>
  <si>
    <t>160-1446-1-ND</t>
  </si>
  <si>
    <t>RED_0603</t>
  </si>
  <si>
    <t>LED RED CLEAR SMD</t>
  </si>
  <si>
    <t>D5, D6</t>
  </si>
  <si>
    <t>LTST-C191KRKT</t>
  </si>
  <si>
    <t>160-1447-1-ND</t>
  </si>
  <si>
    <t>LCD_Screen_16x2</t>
  </si>
  <si>
    <t>SPARKFUN 16X2 SERLCD - RGB TEXT</t>
  </si>
  <si>
    <t>DS1</t>
  </si>
  <si>
    <t>SparkFun</t>
  </si>
  <si>
    <t>16397</t>
  </si>
  <si>
    <t>1568-16397-ND</t>
  </si>
  <si>
    <t>FERRITE BEAD</t>
  </si>
  <si>
    <t>8.5 Ohms @ 100 MHz 1 Power Line Ferrite Bead 0603 (1608 Metric) 8A 4mOhm</t>
  </si>
  <si>
    <t>F1, F2, F3</t>
  </si>
  <si>
    <t>BLE18PS080SH1D</t>
  </si>
  <si>
    <t>81-BLE18PS080SH1D</t>
  </si>
  <si>
    <t>220R 3A</t>
  </si>
  <si>
    <t>220 Ohms @ 100MHz 1 Power Line Ferrite Bead 0805 (2012 Metric) 3A 40mOhm</t>
  </si>
  <si>
    <t>FB1, FB2, FB3, FB4</t>
  </si>
  <si>
    <t>Laird</t>
  </si>
  <si>
    <t>MI0805M221R-10</t>
  </si>
  <si>
    <t>240-2392-1-ND</t>
  </si>
  <si>
    <t>TAG_CONNECT_TC2030</t>
  </si>
  <si>
    <t>TC2030-IDC</t>
  </si>
  <si>
    <t>H1</t>
  </si>
  <si>
    <t>Tag-Connect</t>
  </si>
  <si>
    <t>TC2030-IDC-ND</t>
  </si>
  <si>
    <t>DC_IN</t>
  </si>
  <si>
    <t>Power Barrel Connector Jack 2.10mm ID (0.083"), 5.50mm OD (0.217") Through Hole, Right Angle</t>
  </si>
  <si>
    <t>J1</t>
  </si>
  <si>
    <t>Same Sky</t>
  </si>
  <si>
    <t>PJ-051AH</t>
  </si>
  <si>
    <t>490-PJ-051AH</t>
  </si>
  <si>
    <t>3.5MM TRS</t>
  </si>
  <si>
    <t>3.50mm (0.141", 1/8", Mini Plug) - Headphone Phone Jack Stereo (3 Conductor, TRS) Connector Solder</t>
  </si>
  <si>
    <t>J2, J5, J12</t>
  </si>
  <si>
    <t>SJ-3566AN</t>
  </si>
  <si>
    <t>CP-SJ-3566AN-ND</t>
  </si>
  <si>
    <t>3.5mm DBL</t>
  </si>
  <si>
    <t>J3, J4</t>
  </si>
  <si>
    <t>Kycon</t>
  </si>
  <si>
    <t>STX-4235-3/3-N</t>
  </si>
  <si>
    <t>2092-STX-4235-3/3-N-ND</t>
  </si>
  <si>
    <t>J6, J7</t>
  </si>
  <si>
    <t>CONN_SD_CARD_SMD</t>
  </si>
  <si>
    <t>8 Position Card Connector Secure Digital - microSDâ„¢ Surface Mount, Right Angle Gold</t>
  </si>
  <si>
    <t>J8</t>
  </si>
  <si>
    <t>3M</t>
  </si>
  <si>
    <t>2908-05WB-MG</t>
  </si>
  <si>
    <t>3M5607CT-ND</t>
  </si>
  <si>
    <t>CONN_2.54mm</t>
  </si>
  <si>
    <t>68000-105HTLF-B/S SR HDR 1*5</t>
  </si>
  <si>
    <t>J10</t>
  </si>
  <si>
    <t>61300511121</t>
  </si>
  <si>
    <t>732-5318-ND</t>
  </si>
  <si>
    <t>CONN_1.27mm</t>
  </si>
  <si>
    <t>Connector Header Surface Mount 10 position 0.050" (1.27mm)</t>
  </si>
  <si>
    <t>J11</t>
  </si>
  <si>
    <t>CNC Tech</t>
  </si>
  <si>
    <t>3220-10-0300-00-TR</t>
  </si>
  <si>
    <t>1175-2643-1-ND</t>
  </si>
  <si>
    <t>1725672</t>
  </si>
  <si>
    <t>4 Position Wire to Board Terminal Block Horizontal with Board 0.100" (2.54mm) Through Hole</t>
  </si>
  <si>
    <t>P1</t>
  </si>
  <si>
    <t>Phoenix Contact</t>
  </si>
  <si>
    <t>651-1725672</t>
  </si>
  <si>
    <t>1725656</t>
  </si>
  <si>
    <t>2 Position Wire to Board Terminal Block Horizontal with Board 0.100" (2.54mm) Through Hole</t>
  </si>
  <si>
    <t>P2</t>
  </si>
  <si>
    <t>651-1725656</t>
  </si>
  <si>
    <t>20V_3.6A</t>
  </si>
  <si>
    <t>Trans MOSFET P-CH 20V 3.6A 3-Pin SOT-23 T/R</t>
  </si>
  <si>
    <t>Q1</t>
  </si>
  <si>
    <t>DMP2045UQ-7</t>
  </si>
  <si>
    <t>31-DMP2045UQ-7CT-ND</t>
  </si>
  <si>
    <t>BC848C</t>
  </si>
  <si>
    <t>NPN Silicon AF Transistor, 30 V VCEO, 100 mA IC, SOT23, Reel, Green</t>
  </si>
  <si>
    <t>Q2, Q3, Q4, Q5</t>
  </si>
  <si>
    <t>Infineon</t>
  </si>
  <si>
    <t>BC848CE6327HTSA1</t>
  </si>
  <si>
    <t>End of Life</t>
  </si>
  <si>
    <t>100K</t>
  </si>
  <si>
    <t>Res Thick Film 0603 100K Ohm 5% 0.33W(1/3W) ±200ppm/°C Pad SMD Automotive T/R</t>
  </si>
  <si>
    <t>R1, R4, R39, R40, R41, R42, R52, R53, R55</t>
  </si>
  <si>
    <t>Vishay</t>
  </si>
  <si>
    <t>CRCW0603100KJNEAHP</t>
  </si>
  <si>
    <t>541-100KSACT-ND</t>
  </si>
  <si>
    <t>3.6M</t>
  </si>
  <si>
    <t>RES 3.6M OHM 1% 1/10W 0603</t>
  </si>
  <si>
    <t>R2</t>
  </si>
  <si>
    <t>Stackpole Electronics</t>
  </si>
  <si>
    <t>RMCF0603FT3M60</t>
  </si>
  <si>
    <t>RMCF0603FT3M60CT-ND</t>
  </si>
  <si>
    <t>2M</t>
  </si>
  <si>
    <t>Resistor</t>
  </si>
  <si>
    <t>R3</t>
  </si>
  <si>
    <t>Panasonic</t>
  </si>
  <si>
    <t>ERJ-3GEYJ205V</t>
  </si>
  <si>
    <t>P2.0MGCT-ND</t>
  </si>
  <si>
    <t>20K</t>
  </si>
  <si>
    <t>20 kOhms ±1% 0.1W, 1/10W Chip Resistor 0603 (1608 Metric) Automotive AEC-Q200 Thick Film</t>
  </si>
  <si>
    <t>R5, R6, R9, R10</t>
  </si>
  <si>
    <t>RMCF0603FT20K0</t>
  </si>
  <si>
    <t>RMCF0603FT20K0CT-ND</t>
  </si>
  <si>
    <t>2.1K 1%</t>
  </si>
  <si>
    <t>2.1 kOhms ±1% 0.1W, 1/10W Chip Resistor 0603 (1608 Metric) Moisture Resistant Thick Film</t>
  </si>
  <si>
    <t>R7</t>
  </si>
  <si>
    <t>RC0603FR-072K1L</t>
  </si>
  <si>
    <t>311-2.10KHRCT-ND</t>
  </si>
  <si>
    <t>10k</t>
  </si>
  <si>
    <t>Res Thick Film 0603 10K Ohm 5% 1/10W 200ppm/C Molded SMD SMD Paper T/R</t>
  </si>
  <si>
    <t>R8, R11, R26, R28, R30, R32, R34, R36, R37, R43, R48, R49, R50, R59, R60, R61, R64, R66</t>
  </si>
  <si>
    <t>RMCF0603FT10K0</t>
  </si>
  <si>
    <t>RMCF0603FT10K0CT-ND</t>
  </si>
  <si>
    <t>22R</t>
  </si>
  <si>
    <t>RES 22 OHM 1% 1/10W 0603</t>
  </si>
  <si>
    <t>R12, R13</t>
  </si>
  <si>
    <t>TE Connectivity</t>
  </si>
  <si>
    <t>CRGCQ0603F22R</t>
  </si>
  <si>
    <t>A129668CT-ND</t>
  </si>
  <si>
    <t>1K</t>
  </si>
  <si>
    <t>1 kOhms ±1% 0.25W, 1/4W Chip Resistor 0603 (1608 Metric) Pulse Withstanding Thick Film</t>
  </si>
  <si>
    <t>R14, R15, R58</t>
  </si>
  <si>
    <t>CRCW06031K00FKEAC</t>
  </si>
  <si>
    <t>541-3949-1-ND</t>
  </si>
  <si>
    <t>0R</t>
  </si>
  <si>
    <t>0 Ohms Jumper 0.1W, 1/10W Chip Resistor 0603 (1608 Metric) Anti-Sulfur, Automotive AEC-Q200, Moisture Resistant Thick Film</t>
  </si>
  <si>
    <t>R16, R17, R18, R19, R67, R68, R69, R70</t>
  </si>
  <si>
    <t>Bourns</t>
  </si>
  <si>
    <t>CR0603AJ/-000EAS</t>
  </si>
  <si>
    <t>CR0603AJ/-000EASCT-ND</t>
  </si>
  <si>
    <t>4K7</t>
  </si>
  <si>
    <t>RES 4.7K OHM 1% 1/4W 0603</t>
  </si>
  <si>
    <t>R20, R21</t>
  </si>
  <si>
    <t>CRGP0603F4K7</t>
  </si>
  <si>
    <t>A130424CT-ND</t>
  </si>
  <si>
    <t>190R</t>
  </si>
  <si>
    <t>R22, R23, R24, R25</t>
  </si>
  <si>
    <t>RC0603FR-07191RL</t>
  </si>
  <si>
    <t>311-191HRCT-ND</t>
  </si>
  <si>
    <t>RES SMD 0 OHM JUMPER 1/10W 0603</t>
  </si>
  <si>
    <t>R27, R29, R31, R33, R35, R65, R72, R75, R76, R77, R78, R79, R80, R81, R82, R83, R84, R85, R86, R87, R88, R89, R90, R91, R92</t>
  </si>
  <si>
    <t>CRG0603ZR</t>
  </si>
  <si>
    <t>A106051CT-ND</t>
  </si>
  <si>
    <t>1M</t>
  </si>
  <si>
    <t>RES 1M OHM 1% 1/4W 0603</t>
  </si>
  <si>
    <t>R38</t>
  </si>
  <si>
    <t>CRGP0603F1M0</t>
  </si>
  <si>
    <t>A130452CT-ND</t>
  </si>
  <si>
    <t>10R</t>
  </si>
  <si>
    <t>10 Ohms ±1% 0.1W, 1/10W Chip Resistor 0603 (1608 Metric) Automotive AEC-Q200 Thick Film</t>
  </si>
  <si>
    <t>R57</t>
  </si>
  <si>
    <t>RMCF0603FT10R0</t>
  </si>
  <si>
    <t>RMCF0603FT10R0CT-ND</t>
  </si>
  <si>
    <t>470</t>
  </si>
  <si>
    <t>RES 470 OHM 1% 1/4W 0603</t>
  </si>
  <si>
    <t>R62, R63</t>
  </si>
  <si>
    <t>CRGP0603F470R</t>
  </si>
  <si>
    <t>A130412CT-ND</t>
  </si>
  <si>
    <t>SWITCH SLIDE DPDT 200MA 30V</t>
  </si>
  <si>
    <t>Slide Switch DPDT Through Hole, Right Angle</t>
  </si>
  <si>
    <t>S1</t>
  </si>
  <si>
    <t>E-Switch</t>
  </si>
  <si>
    <t>EG2211</t>
  </si>
  <si>
    <t>612-EG2211</t>
  </si>
  <si>
    <t>ENCODER</t>
  </si>
  <si>
    <t>Rotary Encoder Mechanical 20 Quadrature (Incremental) Vertical</t>
  </si>
  <si>
    <t>S3, S4</t>
  </si>
  <si>
    <t>PEC11L-4115F-S0020</t>
  </si>
  <si>
    <t>PEC11L-4115F-S0020-ND</t>
  </si>
  <si>
    <t>SW_TACTILE-NO</t>
  </si>
  <si>
    <t>Switch, SPNO SMD</t>
  </si>
  <si>
    <t>S5</t>
  </si>
  <si>
    <t>EVQ-Q2U03W</t>
  </si>
  <si>
    <t>667-EVQ-Q2U03W</t>
  </si>
  <si>
    <t>CONN_TP_SMD</t>
  </si>
  <si>
    <t>Test Point</t>
  </si>
  <si>
    <t>T4, T7, T8, T10, T11, T12, T13</t>
  </si>
  <si>
    <t>8.4V Charge current 1.1A</t>
  </si>
  <si>
    <t>IC BATT CHG LI-ION 2CELL 10DFN</t>
  </si>
  <si>
    <t>U1</t>
  </si>
  <si>
    <t>Microchip</t>
  </si>
  <si>
    <t>MCP73213-A6SI/MF</t>
  </si>
  <si>
    <t>MCP73213-A6SI/MF-ND</t>
  </si>
  <si>
    <t>MAX9744</t>
  </si>
  <si>
    <t>Amplifier IC 2-Channel (Stereo) Class D 44-TQFN-EP (7x7)</t>
  </si>
  <si>
    <t>U2</t>
  </si>
  <si>
    <t>Analog Devices</t>
  </si>
  <si>
    <t>MAX9744ETH+T</t>
  </si>
  <si>
    <t>700-MAX9744ETH+T</t>
  </si>
  <si>
    <t>MAX6818EAP+T</t>
  </si>
  <si>
    <t>Switch Interfacing Interface 20-SSOP</t>
  </si>
  <si>
    <t>U3, U5</t>
  </si>
  <si>
    <t>MAX6818EAP+TCT-ND</t>
  </si>
  <si>
    <t>REG 1.8V/3.3V</t>
  </si>
  <si>
    <t>Linear Voltage Regulator IC Positive Fixed 2 Output 150mA, 150mA SOT-26</t>
  </si>
  <si>
    <t>U4</t>
  </si>
  <si>
    <t>AP7312-1833W6-7</t>
  </si>
  <si>
    <t>Not Recommended for New Design</t>
  </si>
  <si>
    <t>AP7312-1833W6-7DICT-ND</t>
  </si>
  <si>
    <t>SSR</t>
  </si>
  <si>
    <t>Solid State SPST-NO (1 Form A) 6-SMD, Gull Wing</t>
  </si>
  <si>
    <t>U6, U7, U8, U9</t>
  </si>
  <si>
    <t>Toshiba</t>
  </si>
  <si>
    <t>TLP170AM(V4TPL,E</t>
  </si>
  <si>
    <t>264-TLP170AM(V4TPLECT-ND</t>
  </si>
  <si>
    <t>IC_MDBT50Q-1M_SMD</t>
  </si>
  <si>
    <t>MDBT50Q-1M NRF52840 BASED BLE MO</t>
  </si>
  <si>
    <t>U10</t>
  </si>
  <si>
    <t>Adafruit Industries</t>
  </si>
  <si>
    <t>4078</t>
  </si>
  <si>
    <t>485-4078</t>
  </si>
  <si>
    <t>IC_VS1053B_LQFP48</t>
  </si>
  <si>
    <t>VS1053B MP3/WAV/OGG/MIDI Player &amp; Recorder (CODEC) Chip</t>
  </si>
  <si>
    <t>U11</t>
  </si>
  <si>
    <t>1681</t>
  </si>
  <si>
    <t>1528-2645-ND</t>
  </si>
  <si>
    <t>IC BUF ESD</t>
  </si>
  <si>
    <t>Buffer, Non-Inverting 6 Element 1 Bit per Element Push-Pull Output 16-SOIC</t>
  </si>
  <si>
    <t>U12</t>
  </si>
  <si>
    <t>CD74HC4050M96</t>
  </si>
  <si>
    <t>296-14529-1-ND</t>
  </si>
  <si>
    <t>1K_LIN</t>
  </si>
  <si>
    <t>1k Ohm 2 Gang Logarithmic Panel Mount Potentiometer None 1.0 Kierros Carbon 0.025W, 1/40W PC Pins, Board Locks</t>
  </si>
  <si>
    <t>VR1</t>
  </si>
  <si>
    <t>PTD902-1015K-B102</t>
  </si>
  <si>
    <t>PTD902-1015K-B102-ND</t>
  </si>
  <si>
    <t>3V3 1.5A LDO REG</t>
  </si>
  <si>
    <t>IC REG LINEAR 3.3V 1.5A D2PAK</t>
  </si>
  <si>
    <t>VR2</t>
  </si>
  <si>
    <t>onsemi</t>
  </si>
  <si>
    <t>NCP565D2T33R4G</t>
  </si>
  <si>
    <t>863-NCP565D2T33R4G</t>
  </si>
  <si>
    <t>ECS-.327-12.5-34B-TR</t>
  </si>
  <si>
    <t>CRYSTAL 32.7680KHZ 12.5PF SMD</t>
  </si>
  <si>
    <t>XTAL1</t>
  </si>
  <si>
    <t>ECS International</t>
  </si>
  <si>
    <t>50-ECS-.327-12.5-34B-TRCT-ND</t>
  </si>
  <si>
    <t>12.288MHz</t>
  </si>
  <si>
    <t>CRYSTAL 12.2880MHZ 10PF SMD</t>
  </si>
  <si>
    <t>XTAL2</t>
  </si>
  <si>
    <t>Abracon</t>
  </si>
  <si>
    <t>ABM8G-12.288MHZ-4Y-T3</t>
  </si>
  <si>
    <t>535-10902-1-ND</t>
  </si>
  <si>
    <t>Supplier 1 Total</t>
  </si>
  <si>
    <t>Based on supplier min.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</si>
</sst>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CEA7E-D2E5-460B-91EF-B4C89370C7B5}">
  <dimension ref="A1:L68"/>
  <sheetViews>
    <sheetView tabSelected="1" workbookViewId="0">
      <selection activeCell="H10" sqref="H10"/>
    </sheetView>
  </sheetViews>
  <sheetFormatPr defaultRowHeight="15" x14ac:dyDescent="0.25"/>
  <cols>
    <col min="1" max="1" width="19.7109375" customWidth="1"/>
    <col min="2" max="2" width="41.140625" customWidth="1"/>
    <col min="3" max="3" width="34.140625" customWidth="1"/>
    <col min="4" max="4" width="11.28515625" customWidth="1"/>
    <col min="5" max="5" width="19.7109375" customWidth="1"/>
    <col min="6" max="6" width="27.42578125" customWidth="1"/>
    <col min="7" max="7" width="24" customWidth="1"/>
    <col min="8" max="8" width="19.7109375" customWidth="1"/>
    <col min="9" max="9" width="23.140625" customWidth="1"/>
    <col min="10" max="10" width="20.85546875" customWidth="1"/>
    <col min="11" max="11" width="20" customWidth="1"/>
    <col min="12" max="12" width="20.42578125" customWidth="1"/>
  </cols>
  <sheetData>
    <row r="1" spans="1:12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2" t="s">
        <v>13</v>
      </c>
      <c r="B2" s="2" t="s">
        <v>14</v>
      </c>
      <c r="C2" s="2" t="s">
        <v>15</v>
      </c>
      <c r="D2" s="1">
        <v>4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1">
        <v>3.4000000000000002E-2</v>
      </c>
      <c r="K2" s="1">
        <v>0.34</v>
      </c>
      <c r="L2" s="1">
        <v>210013</v>
      </c>
    </row>
    <row r="3" spans="1:12" x14ac:dyDescent="0.25">
      <c r="A3" s="2" t="s">
        <v>21</v>
      </c>
      <c r="B3" s="2" t="s">
        <v>22</v>
      </c>
      <c r="C3" s="2" t="s">
        <v>23</v>
      </c>
      <c r="D3" s="1">
        <v>18</v>
      </c>
      <c r="E3" s="2" t="s">
        <v>24</v>
      </c>
      <c r="F3" s="2" t="s">
        <v>25</v>
      </c>
      <c r="G3" s="2" t="s">
        <v>18</v>
      </c>
      <c r="H3" s="2" t="s">
        <v>19</v>
      </c>
      <c r="I3" s="2" t="s">
        <v>26</v>
      </c>
      <c r="J3" s="1">
        <v>2.5000000000000001E-2</v>
      </c>
      <c r="K3" s="1">
        <v>0.45</v>
      </c>
      <c r="L3" s="1">
        <v>160263</v>
      </c>
    </row>
    <row r="4" spans="1:12" x14ac:dyDescent="0.25">
      <c r="A4" s="2" t="s">
        <v>27</v>
      </c>
      <c r="B4" s="2" t="s">
        <v>28</v>
      </c>
      <c r="C4" s="2" t="s">
        <v>29</v>
      </c>
      <c r="D4" s="1">
        <v>9</v>
      </c>
      <c r="E4" s="2" t="s">
        <v>30</v>
      </c>
      <c r="F4" s="2" t="s">
        <v>31</v>
      </c>
      <c r="G4" s="2" t="s">
        <v>18</v>
      </c>
      <c r="H4" s="2" t="s">
        <v>19</v>
      </c>
      <c r="I4" s="2" t="s">
        <v>32</v>
      </c>
      <c r="J4" s="1">
        <v>0.17</v>
      </c>
      <c r="K4" s="1">
        <v>1.7</v>
      </c>
      <c r="L4" s="1">
        <v>154995</v>
      </c>
    </row>
    <row r="5" spans="1:12" x14ac:dyDescent="0.25">
      <c r="A5" s="2" t="s">
        <v>33</v>
      </c>
      <c r="B5" s="2" t="s">
        <v>34</v>
      </c>
      <c r="C5" s="2" t="s">
        <v>35</v>
      </c>
      <c r="D5" s="1">
        <v>1</v>
      </c>
      <c r="E5" s="2" t="s">
        <v>36</v>
      </c>
      <c r="F5" s="2" t="s">
        <v>37</v>
      </c>
      <c r="G5" s="2" t="s">
        <v>18</v>
      </c>
      <c r="H5" s="2" t="s">
        <v>19</v>
      </c>
      <c r="I5" s="2" t="s">
        <v>38</v>
      </c>
      <c r="J5" s="1">
        <v>0.13</v>
      </c>
      <c r="K5" s="1">
        <v>0.13</v>
      </c>
      <c r="L5" s="1">
        <v>25318</v>
      </c>
    </row>
    <row r="6" spans="1:12" x14ac:dyDescent="0.25">
      <c r="A6" s="2" t="s">
        <v>39</v>
      </c>
      <c r="B6" s="2" t="s">
        <v>40</v>
      </c>
      <c r="C6" s="2" t="s">
        <v>41</v>
      </c>
      <c r="D6" s="1">
        <v>9</v>
      </c>
      <c r="E6" s="2" t="s">
        <v>42</v>
      </c>
      <c r="F6" s="2" t="s">
        <v>43</v>
      </c>
      <c r="G6" s="2" t="s">
        <v>18</v>
      </c>
      <c r="H6" s="2" t="s">
        <v>19</v>
      </c>
      <c r="I6" s="2" t="s">
        <v>44</v>
      </c>
      <c r="J6" s="1">
        <v>2.3E-2</v>
      </c>
      <c r="K6" s="1">
        <v>0.23</v>
      </c>
      <c r="L6" s="1">
        <v>658033</v>
      </c>
    </row>
    <row r="7" spans="1:12" x14ac:dyDescent="0.25">
      <c r="A7" s="2" t="s">
        <v>27</v>
      </c>
      <c r="B7" s="2" t="s">
        <v>45</v>
      </c>
      <c r="C7" s="2" t="s">
        <v>46</v>
      </c>
      <c r="D7" s="1">
        <v>2</v>
      </c>
      <c r="E7" s="2" t="s">
        <v>47</v>
      </c>
      <c r="F7" s="2" t="s">
        <v>48</v>
      </c>
      <c r="G7" s="2" t="s">
        <v>18</v>
      </c>
      <c r="H7" s="2" t="s">
        <v>19</v>
      </c>
      <c r="I7" s="2" t="s">
        <v>49</v>
      </c>
      <c r="J7" s="1">
        <v>0.18</v>
      </c>
      <c r="K7" s="1">
        <v>0.36</v>
      </c>
      <c r="L7" s="1">
        <v>350398</v>
      </c>
    </row>
    <row r="8" spans="1:12" x14ac:dyDescent="0.25">
      <c r="A8" s="2" t="s">
        <v>50</v>
      </c>
      <c r="B8" s="2" t="s">
        <v>51</v>
      </c>
      <c r="C8" s="2" t="s">
        <v>52</v>
      </c>
      <c r="D8" s="1">
        <v>2</v>
      </c>
      <c r="E8" s="2" t="s">
        <v>53</v>
      </c>
      <c r="F8" s="2" t="s">
        <v>54</v>
      </c>
      <c r="G8" s="2" t="s">
        <v>55</v>
      </c>
      <c r="H8" s="2" t="s">
        <v>19</v>
      </c>
      <c r="I8" s="2" t="s">
        <v>56</v>
      </c>
      <c r="J8" s="1">
        <v>0.97</v>
      </c>
      <c r="K8" s="1">
        <v>1.94</v>
      </c>
      <c r="L8" s="1">
        <v>18450</v>
      </c>
    </row>
    <row r="9" spans="1:12" x14ac:dyDescent="0.25">
      <c r="A9" s="2" t="s">
        <v>57</v>
      </c>
      <c r="B9" s="2" t="s">
        <v>58</v>
      </c>
      <c r="C9" s="2" t="s">
        <v>59</v>
      </c>
      <c r="D9" s="1">
        <v>1</v>
      </c>
      <c r="E9" s="2" t="s">
        <v>30</v>
      </c>
      <c r="F9" s="2" t="s">
        <v>60</v>
      </c>
      <c r="G9" s="2" t="s">
        <v>18</v>
      </c>
      <c r="H9" s="2" t="s">
        <v>61</v>
      </c>
      <c r="I9" s="2" t="s">
        <v>62</v>
      </c>
      <c r="J9" s="1">
        <v>0.15</v>
      </c>
      <c r="K9" s="1">
        <v>0.15</v>
      </c>
      <c r="L9" s="1">
        <v>986</v>
      </c>
    </row>
    <row r="10" spans="1:12" x14ac:dyDescent="0.25">
      <c r="A10" s="2" t="s">
        <v>63</v>
      </c>
      <c r="B10" s="2" t="s">
        <v>64</v>
      </c>
      <c r="C10" s="2" t="s">
        <v>65</v>
      </c>
      <c r="D10" s="1">
        <v>2</v>
      </c>
      <c r="E10" s="2" t="s">
        <v>36</v>
      </c>
      <c r="F10" s="2" t="s">
        <v>63</v>
      </c>
      <c r="G10" s="2" t="s">
        <v>18</v>
      </c>
      <c r="H10" s="2" t="s">
        <v>66</v>
      </c>
      <c r="I10" s="2" t="s">
        <v>67</v>
      </c>
      <c r="J10" s="1">
        <v>0.06</v>
      </c>
      <c r="K10" s="1">
        <v>0.12</v>
      </c>
      <c r="L10" s="1">
        <v>19004</v>
      </c>
    </row>
    <row r="11" spans="1:12" x14ac:dyDescent="0.25">
      <c r="A11" s="2" t="s">
        <v>68</v>
      </c>
      <c r="B11" s="2" t="s">
        <v>69</v>
      </c>
      <c r="C11" s="2" t="s">
        <v>70</v>
      </c>
      <c r="D11" s="1">
        <v>2</v>
      </c>
      <c r="E11" s="2" t="s">
        <v>36</v>
      </c>
      <c r="F11" s="2" t="s">
        <v>71</v>
      </c>
      <c r="G11" s="2" t="s">
        <v>18</v>
      </c>
      <c r="H11" s="2" t="s">
        <v>19</v>
      </c>
      <c r="I11" s="2" t="s">
        <v>72</v>
      </c>
      <c r="J11" s="1">
        <v>0.18</v>
      </c>
      <c r="K11" s="1">
        <v>0.36</v>
      </c>
      <c r="L11" s="1">
        <v>23332</v>
      </c>
    </row>
    <row r="12" spans="1:12" x14ac:dyDescent="0.25">
      <c r="A12" s="2" t="s">
        <v>73</v>
      </c>
      <c r="B12" s="2" t="s">
        <v>74</v>
      </c>
      <c r="C12" s="2" t="s">
        <v>75</v>
      </c>
      <c r="D12" s="1">
        <v>2</v>
      </c>
      <c r="E12" s="2" t="s">
        <v>16</v>
      </c>
      <c r="F12" s="2" t="s">
        <v>76</v>
      </c>
      <c r="G12" s="2" t="s">
        <v>18</v>
      </c>
      <c r="H12" s="2" t="s">
        <v>19</v>
      </c>
      <c r="I12" s="2" t="s">
        <v>77</v>
      </c>
      <c r="J12" s="1">
        <v>0.16</v>
      </c>
      <c r="K12" s="1">
        <v>0.32</v>
      </c>
      <c r="L12" s="1">
        <v>3040</v>
      </c>
    </row>
    <row r="13" spans="1:12" x14ac:dyDescent="0.25">
      <c r="A13" s="2" t="s">
        <v>78</v>
      </c>
      <c r="B13" s="2" t="s">
        <v>12</v>
      </c>
      <c r="C13" s="2" t="s">
        <v>79</v>
      </c>
      <c r="D13" s="1">
        <v>2</v>
      </c>
      <c r="E13" s="2" t="s">
        <v>24</v>
      </c>
      <c r="F13" s="2" t="s">
        <v>80</v>
      </c>
      <c r="G13" s="2" t="s">
        <v>18</v>
      </c>
      <c r="H13" s="2" t="s">
        <v>19</v>
      </c>
      <c r="I13" s="2" t="s">
        <v>81</v>
      </c>
      <c r="J13" s="1">
        <v>0.1</v>
      </c>
      <c r="K13" s="1">
        <v>0.2</v>
      </c>
      <c r="L13" s="1">
        <v>21586</v>
      </c>
    </row>
    <row r="14" spans="1:12" x14ac:dyDescent="0.25">
      <c r="A14" s="2" t="s">
        <v>82</v>
      </c>
      <c r="B14" s="2" t="s">
        <v>83</v>
      </c>
      <c r="C14" s="2" t="s">
        <v>84</v>
      </c>
      <c r="D14" s="1">
        <v>2</v>
      </c>
      <c r="E14" s="2" t="s">
        <v>36</v>
      </c>
      <c r="F14" s="2" t="s">
        <v>85</v>
      </c>
      <c r="G14" s="2" t="s">
        <v>18</v>
      </c>
      <c r="H14" s="2" t="s">
        <v>19</v>
      </c>
      <c r="I14" s="2" t="s">
        <v>86</v>
      </c>
      <c r="J14" s="1">
        <v>0.35</v>
      </c>
      <c r="K14" s="1">
        <v>0.7</v>
      </c>
      <c r="L14" s="1">
        <v>73423</v>
      </c>
    </row>
    <row r="15" spans="1:12" x14ac:dyDescent="0.25">
      <c r="A15" s="2" t="s">
        <v>87</v>
      </c>
      <c r="B15" s="2" t="s">
        <v>88</v>
      </c>
      <c r="C15" s="2" t="s">
        <v>89</v>
      </c>
      <c r="D15" s="1">
        <v>1</v>
      </c>
      <c r="E15" s="2" t="s">
        <v>36</v>
      </c>
      <c r="F15" s="2" t="s">
        <v>90</v>
      </c>
      <c r="G15" s="2" t="s">
        <v>18</v>
      </c>
      <c r="H15" s="2" t="s">
        <v>19</v>
      </c>
      <c r="I15" s="2" t="s">
        <v>91</v>
      </c>
      <c r="J15" s="1">
        <v>0.1</v>
      </c>
      <c r="K15" s="1">
        <v>0.1</v>
      </c>
      <c r="L15" s="1">
        <v>439109</v>
      </c>
    </row>
    <row r="16" spans="1:12" x14ac:dyDescent="0.25">
      <c r="A16" s="2" t="s">
        <v>92</v>
      </c>
      <c r="B16" s="2" t="s">
        <v>93</v>
      </c>
      <c r="C16" s="2" t="s">
        <v>94</v>
      </c>
      <c r="D16" s="1">
        <v>2</v>
      </c>
      <c r="E16" s="2" t="s">
        <v>53</v>
      </c>
      <c r="F16" s="2" t="s">
        <v>95</v>
      </c>
      <c r="G16" s="2" t="s">
        <v>55</v>
      </c>
      <c r="H16" s="2" t="s">
        <v>19</v>
      </c>
      <c r="I16" s="2" t="s">
        <v>96</v>
      </c>
      <c r="J16" s="1">
        <v>0.1</v>
      </c>
      <c r="K16" s="1">
        <v>0.2</v>
      </c>
      <c r="L16" s="1">
        <v>13690</v>
      </c>
    </row>
    <row r="17" spans="1:12" x14ac:dyDescent="0.25">
      <c r="A17" s="2" t="s">
        <v>97</v>
      </c>
      <c r="B17" s="2" t="s">
        <v>98</v>
      </c>
      <c r="C17" s="2" t="s">
        <v>99</v>
      </c>
      <c r="D17" s="1">
        <v>2</v>
      </c>
      <c r="E17" s="2" t="s">
        <v>100</v>
      </c>
      <c r="F17" s="2" t="s">
        <v>97</v>
      </c>
      <c r="G17" s="2" t="s">
        <v>18</v>
      </c>
      <c r="H17" s="2" t="s">
        <v>101</v>
      </c>
      <c r="I17" s="2" t="s">
        <v>97</v>
      </c>
      <c r="J17" s="1">
        <v>0.36470000000000002</v>
      </c>
      <c r="K17" s="1">
        <f>J17*D17</f>
        <v>0.72940000000000005</v>
      </c>
      <c r="L17" s="1">
        <v>18000</v>
      </c>
    </row>
    <row r="18" spans="1:12" x14ac:dyDescent="0.25">
      <c r="A18" s="2" t="s">
        <v>102</v>
      </c>
      <c r="B18" s="2" t="s">
        <v>103</v>
      </c>
      <c r="C18" s="2" t="s">
        <v>104</v>
      </c>
      <c r="D18" s="1">
        <v>1</v>
      </c>
      <c r="E18" s="2" t="s">
        <v>105</v>
      </c>
      <c r="F18" s="2" t="s">
        <v>106</v>
      </c>
      <c r="G18" s="2" t="s">
        <v>18</v>
      </c>
      <c r="H18" s="2" t="s">
        <v>19</v>
      </c>
      <c r="I18" s="2" t="s">
        <v>107</v>
      </c>
      <c r="J18" s="1">
        <v>0.39</v>
      </c>
      <c r="K18" s="1">
        <v>0.39</v>
      </c>
      <c r="L18" s="1">
        <v>34796</v>
      </c>
    </row>
    <row r="19" spans="1:12" x14ac:dyDescent="0.25">
      <c r="A19" s="2" t="s">
        <v>108</v>
      </c>
      <c r="B19" s="2" t="s">
        <v>109</v>
      </c>
      <c r="C19" s="2" t="s">
        <v>110</v>
      </c>
      <c r="D19" s="1">
        <v>1</v>
      </c>
      <c r="E19" s="2" t="s">
        <v>111</v>
      </c>
      <c r="F19" s="2" t="s">
        <v>112</v>
      </c>
      <c r="G19" s="2" t="s">
        <v>18</v>
      </c>
      <c r="H19" s="2" t="s">
        <v>19</v>
      </c>
      <c r="I19" s="2" t="s">
        <v>113</v>
      </c>
      <c r="J19" s="1">
        <v>0.15</v>
      </c>
      <c r="K19" s="1">
        <v>0.15</v>
      </c>
      <c r="L19" s="1">
        <v>1623560</v>
      </c>
    </row>
    <row r="20" spans="1:12" x14ac:dyDescent="0.25">
      <c r="A20" s="2" t="s">
        <v>114</v>
      </c>
      <c r="B20" s="2" t="s">
        <v>115</v>
      </c>
      <c r="C20" s="2" t="s">
        <v>116</v>
      </c>
      <c r="D20" s="1">
        <v>2</v>
      </c>
      <c r="E20" s="2" t="s">
        <v>111</v>
      </c>
      <c r="F20" s="2" t="s">
        <v>117</v>
      </c>
      <c r="G20" s="2" t="s">
        <v>18</v>
      </c>
      <c r="H20" s="2" t="s">
        <v>19</v>
      </c>
      <c r="I20" s="2" t="s">
        <v>118</v>
      </c>
      <c r="J20" s="1">
        <v>0.15</v>
      </c>
      <c r="K20" s="1">
        <v>0.3</v>
      </c>
      <c r="L20" s="1">
        <v>536648</v>
      </c>
    </row>
    <row r="21" spans="1:12" x14ac:dyDescent="0.25">
      <c r="A21" s="2" t="s">
        <v>119</v>
      </c>
      <c r="B21" s="2" t="s">
        <v>120</v>
      </c>
      <c r="C21" s="2" t="s">
        <v>121</v>
      </c>
      <c r="D21" s="1">
        <v>1</v>
      </c>
      <c r="E21" s="2" t="s">
        <v>122</v>
      </c>
      <c r="F21" s="2" t="s">
        <v>123</v>
      </c>
      <c r="G21" s="2" t="s">
        <v>55</v>
      </c>
      <c r="H21" s="2" t="s">
        <v>19</v>
      </c>
      <c r="I21" s="2" t="s">
        <v>124</v>
      </c>
      <c r="J21" s="1">
        <v>35.450000000000003</v>
      </c>
      <c r="K21" s="1">
        <v>35.450000000000003</v>
      </c>
      <c r="L21" s="1">
        <v>114</v>
      </c>
    </row>
    <row r="22" spans="1:12" x14ac:dyDescent="0.25">
      <c r="A22" s="2" t="s">
        <v>125</v>
      </c>
      <c r="B22" s="2" t="s">
        <v>126</v>
      </c>
      <c r="C22" s="2" t="s">
        <v>127</v>
      </c>
      <c r="D22" s="1">
        <v>3</v>
      </c>
      <c r="E22" s="2" t="s">
        <v>30</v>
      </c>
      <c r="F22" s="2" t="s">
        <v>128</v>
      </c>
      <c r="G22" s="2" t="s">
        <v>18</v>
      </c>
      <c r="H22" s="2" t="s">
        <v>61</v>
      </c>
      <c r="I22" s="2" t="s">
        <v>129</v>
      </c>
      <c r="J22" s="1">
        <v>0.35</v>
      </c>
      <c r="K22" s="1">
        <v>1.05</v>
      </c>
      <c r="L22" s="1">
        <v>3789</v>
      </c>
    </row>
    <row r="23" spans="1:12" x14ac:dyDescent="0.25">
      <c r="A23" s="2" t="s">
        <v>130</v>
      </c>
      <c r="B23" s="2" t="s">
        <v>131</v>
      </c>
      <c r="C23" s="2" t="s">
        <v>132</v>
      </c>
      <c r="D23" s="1">
        <v>4</v>
      </c>
      <c r="E23" s="2" t="s">
        <v>133</v>
      </c>
      <c r="F23" s="2" t="s">
        <v>134</v>
      </c>
      <c r="G23" s="2" t="s">
        <v>18</v>
      </c>
      <c r="H23" s="2" t="s">
        <v>19</v>
      </c>
      <c r="I23" s="2" t="s">
        <v>135</v>
      </c>
      <c r="J23" s="1">
        <v>0.1</v>
      </c>
      <c r="K23" s="1">
        <v>0.4</v>
      </c>
      <c r="L23" s="1">
        <v>180791</v>
      </c>
    </row>
    <row r="24" spans="1:12" x14ac:dyDescent="0.25">
      <c r="A24" s="2" t="s">
        <v>136</v>
      </c>
      <c r="B24" s="2" t="s">
        <v>137</v>
      </c>
      <c r="C24" s="2" t="s">
        <v>138</v>
      </c>
      <c r="D24" s="1">
        <v>1</v>
      </c>
      <c r="E24" s="2" t="s">
        <v>139</v>
      </c>
      <c r="F24" s="2" t="s">
        <v>137</v>
      </c>
      <c r="G24" s="2" t="s">
        <v>55</v>
      </c>
      <c r="H24" s="2" t="s">
        <v>19</v>
      </c>
      <c r="I24" s="2" t="s">
        <v>140</v>
      </c>
      <c r="J24" s="1">
        <v>43.71</v>
      </c>
      <c r="K24" s="1">
        <v>43.71</v>
      </c>
      <c r="L24" s="1">
        <v>972</v>
      </c>
    </row>
    <row r="25" spans="1:12" x14ac:dyDescent="0.25">
      <c r="A25" s="2" t="s">
        <v>141</v>
      </c>
      <c r="B25" s="2" t="s">
        <v>142</v>
      </c>
      <c r="C25" s="2" t="s">
        <v>143</v>
      </c>
      <c r="D25" s="1">
        <v>1</v>
      </c>
      <c r="E25" s="2" t="s">
        <v>144</v>
      </c>
      <c r="F25" s="2" t="s">
        <v>145</v>
      </c>
      <c r="G25" s="2" t="s">
        <v>18</v>
      </c>
      <c r="H25" s="2" t="s">
        <v>61</v>
      </c>
      <c r="I25" s="2" t="s">
        <v>146</v>
      </c>
      <c r="J25" s="1">
        <v>0.83</v>
      </c>
      <c r="K25" s="1">
        <v>0.83</v>
      </c>
      <c r="L25" s="1">
        <v>10514</v>
      </c>
    </row>
    <row r="26" spans="1:12" x14ac:dyDescent="0.25">
      <c r="A26" s="2" t="s">
        <v>147</v>
      </c>
      <c r="B26" s="2" t="s">
        <v>148</v>
      </c>
      <c r="C26" s="2" t="s">
        <v>149</v>
      </c>
      <c r="D26" s="1">
        <v>3</v>
      </c>
      <c r="E26" s="2" t="s">
        <v>144</v>
      </c>
      <c r="F26" s="2" t="s">
        <v>150</v>
      </c>
      <c r="G26" s="2" t="s">
        <v>18</v>
      </c>
      <c r="H26" s="2" t="s">
        <v>19</v>
      </c>
      <c r="I26" s="2" t="s">
        <v>151</v>
      </c>
      <c r="J26" s="1">
        <v>1.79</v>
      </c>
      <c r="K26" s="1">
        <v>5.37</v>
      </c>
      <c r="L26" s="1">
        <v>597</v>
      </c>
    </row>
    <row r="27" spans="1:12" x14ac:dyDescent="0.25">
      <c r="A27" s="2" t="s">
        <v>152</v>
      </c>
      <c r="B27" s="2" t="s">
        <v>148</v>
      </c>
      <c r="C27" s="2" t="s">
        <v>153</v>
      </c>
      <c r="D27" s="1">
        <v>2</v>
      </c>
      <c r="E27" s="2" t="s">
        <v>154</v>
      </c>
      <c r="F27" s="2" t="s">
        <v>155</v>
      </c>
      <c r="G27" s="2" t="s">
        <v>18</v>
      </c>
      <c r="H27" s="2" t="s">
        <v>19</v>
      </c>
      <c r="I27" s="2" t="s">
        <v>156</v>
      </c>
      <c r="J27" s="1">
        <v>2.1</v>
      </c>
      <c r="K27" s="1">
        <v>4.2</v>
      </c>
      <c r="L27" s="1">
        <v>33500</v>
      </c>
    </row>
    <row r="28" spans="1:12" x14ac:dyDescent="0.25">
      <c r="A28" s="2" t="s">
        <v>152</v>
      </c>
      <c r="B28" s="2" t="s">
        <v>148</v>
      </c>
      <c r="C28" s="2" t="s">
        <v>157</v>
      </c>
      <c r="D28" s="1">
        <v>2</v>
      </c>
      <c r="E28" s="2" t="s">
        <v>154</v>
      </c>
      <c r="F28" s="2" t="s">
        <v>155</v>
      </c>
      <c r="G28" s="2" t="s">
        <v>18</v>
      </c>
      <c r="H28" s="2" t="s">
        <v>19</v>
      </c>
      <c r="I28" s="2" t="s">
        <v>156</v>
      </c>
      <c r="J28" s="1">
        <v>2.1</v>
      </c>
      <c r="K28" s="1">
        <v>4.2</v>
      </c>
      <c r="L28" s="1">
        <v>33500</v>
      </c>
    </row>
    <row r="29" spans="1:12" x14ac:dyDescent="0.25">
      <c r="A29" s="2" t="s">
        <v>158</v>
      </c>
      <c r="B29" s="2" t="s">
        <v>159</v>
      </c>
      <c r="C29" s="2" t="s">
        <v>160</v>
      </c>
      <c r="D29" s="1">
        <v>1</v>
      </c>
      <c r="E29" s="2" t="s">
        <v>161</v>
      </c>
      <c r="F29" s="2" t="s">
        <v>162</v>
      </c>
      <c r="G29" s="2" t="s">
        <v>55</v>
      </c>
      <c r="H29" s="2" t="s">
        <v>19</v>
      </c>
      <c r="I29" s="2" t="s">
        <v>163</v>
      </c>
      <c r="J29" s="1">
        <v>4.43</v>
      </c>
      <c r="K29" s="1">
        <v>4.43</v>
      </c>
      <c r="L29" s="1">
        <v>25848</v>
      </c>
    </row>
    <row r="30" spans="1:12" x14ac:dyDescent="0.25">
      <c r="A30" s="2" t="s">
        <v>164</v>
      </c>
      <c r="B30" s="2" t="s">
        <v>165</v>
      </c>
      <c r="C30" s="2" t="s">
        <v>166</v>
      </c>
      <c r="D30" s="1">
        <v>1</v>
      </c>
      <c r="E30" s="2" t="s">
        <v>53</v>
      </c>
      <c r="F30" s="2" t="s">
        <v>167</v>
      </c>
      <c r="G30" s="2" t="s">
        <v>55</v>
      </c>
      <c r="H30" s="2" t="s">
        <v>19</v>
      </c>
      <c r="I30" s="2" t="s">
        <v>168</v>
      </c>
      <c r="J30" s="1">
        <v>0.24</v>
      </c>
      <c r="K30" s="1">
        <v>0.24</v>
      </c>
      <c r="L30" s="1">
        <v>47566</v>
      </c>
    </row>
    <row r="31" spans="1:12" x14ac:dyDescent="0.25">
      <c r="A31" s="2" t="s">
        <v>169</v>
      </c>
      <c r="B31" s="2" t="s">
        <v>170</v>
      </c>
      <c r="C31" s="2" t="s">
        <v>171</v>
      </c>
      <c r="D31" s="1">
        <v>1</v>
      </c>
      <c r="E31" s="2" t="s">
        <v>172</v>
      </c>
      <c r="F31" s="2" t="s">
        <v>173</v>
      </c>
      <c r="G31" s="2" t="s">
        <v>55</v>
      </c>
      <c r="H31" s="2" t="s">
        <v>19</v>
      </c>
      <c r="I31" s="2" t="s">
        <v>174</v>
      </c>
      <c r="J31" s="1">
        <v>0.83</v>
      </c>
      <c r="K31" s="1">
        <v>0.83</v>
      </c>
      <c r="L31" s="1">
        <v>57869</v>
      </c>
    </row>
    <row r="32" spans="1:12" x14ac:dyDescent="0.25">
      <c r="A32" s="2" t="s">
        <v>175</v>
      </c>
      <c r="B32" s="2" t="s">
        <v>176</v>
      </c>
      <c r="C32" s="2" t="s">
        <v>177</v>
      </c>
      <c r="D32" s="1">
        <v>1</v>
      </c>
      <c r="E32" s="2" t="s">
        <v>178</v>
      </c>
      <c r="F32" s="2" t="s">
        <v>175</v>
      </c>
      <c r="G32" s="2" t="s">
        <v>18</v>
      </c>
      <c r="H32" s="2" t="s">
        <v>61</v>
      </c>
      <c r="I32" s="2" t="s">
        <v>179</v>
      </c>
      <c r="J32" s="1">
        <v>2.78</v>
      </c>
      <c r="K32" s="1">
        <v>2.78</v>
      </c>
      <c r="L32" s="1">
        <v>6260</v>
      </c>
    </row>
    <row r="33" spans="1:12" x14ac:dyDescent="0.25">
      <c r="A33" s="2" t="s">
        <v>180</v>
      </c>
      <c r="B33" s="2" t="s">
        <v>181</v>
      </c>
      <c r="C33" s="2" t="s">
        <v>182</v>
      </c>
      <c r="D33" s="1">
        <v>1</v>
      </c>
      <c r="E33" s="2" t="s">
        <v>178</v>
      </c>
      <c r="F33" s="2" t="s">
        <v>180</v>
      </c>
      <c r="G33" s="2" t="s">
        <v>18</v>
      </c>
      <c r="H33" s="2" t="s">
        <v>61</v>
      </c>
      <c r="I33" s="2" t="s">
        <v>183</v>
      </c>
      <c r="J33" s="1">
        <v>1.4</v>
      </c>
      <c r="K33" s="1">
        <v>1.4</v>
      </c>
      <c r="L33" s="1">
        <v>18240</v>
      </c>
    </row>
    <row r="34" spans="1:12" x14ac:dyDescent="0.25">
      <c r="A34" s="2" t="s">
        <v>184</v>
      </c>
      <c r="B34" s="2" t="s">
        <v>185</v>
      </c>
      <c r="C34" s="2" t="s">
        <v>186</v>
      </c>
      <c r="D34" s="1">
        <v>1</v>
      </c>
      <c r="E34" s="2" t="s">
        <v>105</v>
      </c>
      <c r="F34" s="2" t="s">
        <v>187</v>
      </c>
      <c r="G34" s="2" t="s">
        <v>18</v>
      </c>
      <c r="H34" s="2" t="s">
        <v>19</v>
      </c>
      <c r="I34" s="2" t="s">
        <v>188</v>
      </c>
      <c r="J34" s="1">
        <v>0.49</v>
      </c>
      <c r="K34" s="1">
        <v>0.49</v>
      </c>
      <c r="L34" s="1">
        <v>9894</v>
      </c>
    </row>
    <row r="35" spans="1:12" x14ac:dyDescent="0.25">
      <c r="A35" s="2" t="s">
        <v>189</v>
      </c>
      <c r="B35" s="2" t="s">
        <v>190</v>
      </c>
      <c r="C35" s="2" t="s">
        <v>191</v>
      </c>
      <c r="D35" s="1">
        <v>4</v>
      </c>
      <c r="E35" s="2" t="s">
        <v>192</v>
      </c>
      <c r="F35" s="2" t="s">
        <v>193</v>
      </c>
      <c r="G35" s="2" t="s">
        <v>194</v>
      </c>
      <c r="H35" s="1"/>
      <c r="I35" s="1"/>
      <c r="J35" s="1"/>
      <c r="K35" s="1"/>
      <c r="L35" s="1"/>
    </row>
    <row r="36" spans="1:12" x14ac:dyDescent="0.25">
      <c r="A36" s="2" t="s">
        <v>195</v>
      </c>
      <c r="B36" s="2" t="s">
        <v>196</v>
      </c>
      <c r="C36" s="2" t="s">
        <v>197</v>
      </c>
      <c r="D36" s="1">
        <v>9</v>
      </c>
      <c r="E36" s="2" t="s">
        <v>198</v>
      </c>
      <c r="F36" s="2" t="s">
        <v>199</v>
      </c>
      <c r="G36" s="2" t="s">
        <v>18</v>
      </c>
      <c r="H36" s="2" t="s">
        <v>19</v>
      </c>
      <c r="I36" s="2" t="s">
        <v>200</v>
      </c>
      <c r="J36" s="1">
        <v>6.9000000000000006E-2</v>
      </c>
      <c r="K36" s="1">
        <v>0.69</v>
      </c>
      <c r="L36" s="1">
        <v>105878</v>
      </c>
    </row>
    <row r="37" spans="1:12" x14ac:dyDescent="0.25">
      <c r="A37" s="2" t="s">
        <v>201</v>
      </c>
      <c r="B37" s="2" t="s">
        <v>202</v>
      </c>
      <c r="C37" s="2" t="s">
        <v>203</v>
      </c>
      <c r="D37" s="1">
        <v>1</v>
      </c>
      <c r="E37" s="2" t="s">
        <v>204</v>
      </c>
      <c r="F37" s="2" t="s">
        <v>205</v>
      </c>
      <c r="G37" s="2" t="s">
        <v>18</v>
      </c>
      <c r="H37" s="2" t="s">
        <v>19</v>
      </c>
      <c r="I37" s="2" t="s">
        <v>206</v>
      </c>
      <c r="J37" s="1">
        <v>0.1</v>
      </c>
      <c r="K37" s="1">
        <v>0.1</v>
      </c>
      <c r="L37" s="1">
        <v>12828</v>
      </c>
    </row>
    <row r="38" spans="1:12" x14ac:dyDescent="0.25">
      <c r="A38" s="2" t="s">
        <v>207</v>
      </c>
      <c r="B38" s="2" t="s">
        <v>208</v>
      </c>
      <c r="C38" s="2" t="s">
        <v>209</v>
      </c>
      <c r="D38" s="1">
        <v>1</v>
      </c>
      <c r="E38" s="2" t="s">
        <v>210</v>
      </c>
      <c r="F38" s="2" t="s">
        <v>211</v>
      </c>
      <c r="G38" s="2" t="s">
        <v>18</v>
      </c>
      <c r="H38" s="2" t="s">
        <v>19</v>
      </c>
      <c r="I38" s="2" t="s">
        <v>212</v>
      </c>
      <c r="J38" s="1">
        <v>0.1</v>
      </c>
      <c r="K38" s="1">
        <v>0.1</v>
      </c>
      <c r="L38" s="1">
        <v>588318</v>
      </c>
    </row>
    <row r="39" spans="1:12" x14ac:dyDescent="0.25">
      <c r="A39" s="2" t="s">
        <v>213</v>
      </c>
      <c r="B39" s="2" t="s">
        <v>214</v>
      </c>
      <c r="C39" s="2" t="s">
        <v>215</v>
      </c>
      <c r="D39" s="1">
        <v>4</v>
      </c>
      <c r="E39" s="2" t="s">
        <v>204</v>
      </c>
      <c r="F39" s="2" t="s">
        <v>216</v>
      </c>
      <c r="G39" s="2" t="s">
        <v>18</v>
      </c>
      <c r="H39" s="2" t="s">
        <v>19</v>
      </c>
      <c r="I39" s="2" t="s">
        <v>217</v>
      </c>
      <c r="J39" s="1">
        <v>0.01</v>
      </c>
      <c r="K39" s="1">
        <v>0.1</v>
      </c>
      <c r="L39" s="1">
        <v>2997710</v>
      </c>
    </row>
    <row r="40" spans="1:12" x14ac:dyDescent="0.25">
      <c r="A40" s="2" t="s">
        <v>218</v>
      </c>
      <c r="B40" s="2" t="s">
        <v>219</v>
      </c>
      <c r="C40" s="2" t="s">
        <v>220</v>
      </c>
      <c r="D40" s="1">
        <v>1</v>
      </c>
      <c r="E40" s="2" t="s">
        <v>16</v>
      </c>
      <c r="F40" s="2" t="s">
        <v>221</v>
      </c>
      <c r="G40" s="2" t="s">
        <v>18</v>
      </c>
      <c r="H40" s="2" t="s">
        <v>19</v>
      </c>
      <c r="I40" s="2" t="s">
        <v>222</v>
      </c>
      <c r="J40" s="1">
        <v>0.1</v>
      </c>
      <c r="K40" s="1">
        <v>0.1</v>
      </c>
      <c r="L40" s="1">
        <v>81861</v>
      </c>
    </row>
    <row r="41" spans="1:12" x14ac:dyDescent="0.25">
      <c r="A41" s="2" t="s">
        <v>223</v>
      </c>
      <c r="B41" s="2" t="s">
        <v>224</v>
      </c>
      <c r="C41" s="2" t="s">
        <v>225</v>
      </c>
      <c r="D41" s="1">
        <v>18</v>
      </c>
      <c r="E41" s="2" t="s">
        <v>204</v>
      </c>
      <c r="F41" s="2" t="s">
        <v>226</v>
      </c>
      <c r="G41" s="2" t="s">
        <v>18</v>
      </c>
      <c r="H41" s="2" t="s">
        <v>19</v>
      </c>
      <c r="I41" s="2" t="s">
        <v>227</v>
      </c>
      <c r="J41" s="1">
        <v>0.02</v>
      </c>
      <c r="K41" s="1">
        <v>0.36</v>
      </c>
      <c r="L41" s="1">
        <v>3915763</v>
      </c>
    </row>
    <row r="42" spans="1:12" x14ac:dyDescent="0.25">
      <c r="A42" s="2" t="s">
        <v>228</v>
      </c>
      <c r="B42" s="2" t="s">
        <v>229</v>
      </c>
      <c r="C42" s="2" t="s">
        <v>230</v>
      </c>
      <c r="D42" s="1">
        <v>2</v>
      </c>
      <c r="E42" s="2" t="s">
        <v>231</v>
      </c>
      <c r="F42" s="2" t="s">
        <v>232</v>
      </c>
      <c r="G42" s="2" t="s">
        <v>18</v>
      </c>
      <c r="H42" s="2" t="s">
        <v>19</v>
      </c>
      <c r="I42" s="2" t="s">
        <v>233</v>
      </c>
      <c r="J42" s="1">
        <v>0.1</v>
      </c>
      <c r="K42" s="1">
        <v>0.2</v>
      </c>
      <c r="L42" s="1">
        <v>63612</v>
      </c>
    </row>
    <row r="43" spans="1:12" x14ac:dyDescent="0.25">
      <c r="A43" s="2" t="s">
        <v>234</v>
      </c>
      <c r="B43" s="2" t="s">
        <v>235</v>
      </c>
      <c r="C43" s="2" t="s">
        <v>236</v>
      </c>
      <c r="D43" s="1">
        <v>3</v>
      </c>
      <c r="E43" s="2" t="s">
        <v>198</v>
      </c>
      <c r="F43" s="2" t="s">
        <v>237</v>
      </c>
      <c r="G43" s="2" t="s">
        <v>18</v>
      </c>
      <c r="H43" s="2" t="s">
        <v>19</v>
      </c>
      <c r="I43" s="2" t="s">
        <v>238</v>
      </c>
      <c r="J43" s="1">
        <v>2.9000000000000001E-2</v>
      </c>
      <c r="K43" s="1">
        <v>0.28999999999999998</v>
      </c>
      <c r="L43" s="1">
        <v>654521</v>
      </c>
    </row>
    <row r="44" spans="1:12" x14ac:dyDescent="0.25">
      <c r="A44" s="2" t="s">
        <v>239</v>
      </c>
      <c r="B44" s="2" t="s">
        <v>240</v>
      </c>
      <c r="C44" s="2" t="s">
        <v>241</v>
      </c>
      <c r="D44" s="1">
        <v>8</v>
      </c>
      <c r="E44" s="2" t="s">
        <v>242</v>
      </c>
      <c r="F44" s="2" t="s">
        <v>243</v>
      </c>
      <c r="G44" s="2" t="s">
        <v>18</v>
      </c>
      <c r="H44" s="2" t="s">
        <v>19</v>
      </c>
      <c r="I44" s="2" t="s">
        <v>244</v>
      </c>
      <c r="J44" s="1">
        <v>0.03</v>
      </c>
      <c r="K44" s="1">
        <v>0.3</v>
      </c>
      <c r="L44" s="1">
        <v>68681</v>
      </c>
    </row>
    <row r="45" spans="1:12" x14ac:dyDescent="0.25">
      <c r="A45" s="2" t="s">
        <v>245</v>
      </c>
      <c r="B45" s="2" t="s">
        <v>246</v>
      </c>
      <c r="C45" s="2" t="s">
        <v>247</v>
      </c>
      <c r="D45" s="1">
        <v>2</v>
      </c>
      <c r="E45" s="2" t="s">
        <v>231</v>
      </c>
      <c r="F45" s="2" t="s">
        <v>248</v>
      </c>
      <c r="G45" s="2" t="s">
        <v>18</v>
      </c>
      <c r="H45" s="2" t="s">
        <v>19</v>
      </c>
      <c r="I45" s="2" t="s">
        <v>249</v>
      </c>
      <c r="J45" s="1">
        <v>0.16</v>
      </c>
      <c r="K45" s="1">
        <v>0.32</v>
      </c>
      <c r="L45" s="1">
        <v>136148</v>
      </c>
    </row>
    <row r="46" spans="1:12" x14ac:dyDescent="0.25">
      <c r="A46" s="2" t="s">
        <v>250</v>
      </c>
      <c r="B46" s="2" t="s">
        <v>12</v>
      </c>
      <c r="C46" s="2" t="s">
        <v>251</v>
      </c>
      <c r="D46" s="1">
        <v>4</v>
      </c>
      <c r="E46" s="2" t="s">
        <v>16</v>
      </c>
      <c r="F46" s="2" t="s">
        <v>252</v>
      </c>
      <c r="G46" s="2" t="s">
        <v>18</v>
      </c>
      <c r="H46" s="2" t="s">
        <v>19</v>
      </c>
      <c r="I46" s="2" t="s">
        <v>253</v>
      </c>
      <c r="J46" s="1">
        <v>8.9999999999999993E-3</v>
      </c>
      <c r="K46" s="1">
        <v>0.09</v>
      </c>
      <c r="L46" s="1">
        <v>34073</v>
      </c>
    </row>
    <row r="47" spans="1:12" x14ac:dyDescent="0.25">
      <c r="A47" s="2" t="s">
        <v>239</v>
      </c>
      <c r="B47" s="2" t="s">
        <v>254</v>
      </c>
      <c r="C47" s="2" t="s">
        <v>255</v>
      </c>
      <c r="D47" s="1">
        <v>25</v>
      </c>
      <c r="E47" s="2" t="s">
        <v>231</v>
      </c>
      <c r="F47" s="2" t="s">
        <v>256</v>
      </c>
      <c r="G47" s="2" t="s">
        <v>18</v>
      </c>
      <c r="H47" s="2" t="s">
        <v>19</v>
      </c>
      <c r="I47" s="2" t="s">
        <v>257</v>
      </c>
      <c r="J47" s="1">
        <v>9.5999999999999992E-3</v>
      </c>
      <c r="K47" s="1">
        <v>0.24</v>
      </c>
      <c r="L47" s="1">
        <v>42908</v>
      </c>
    </row>
    <row r="48" spans="1:12" x14ac:dyDescent="0.25">
      <c r="A48" s="2" t="s">
        <v>258</v>
      </c>
      <c r="B48" s="2" t="s">
        <v>259</v>
      </c>
      <c r="C48" s="2" t="s">
        <v>260</v>
      </c>
      <c r="D48" s="1">
        <v>1</v>
      </c>
      <c r="E48" s="2" t="s">
        <v>231</v>
      </c>
      <c r="F48" s="2" t="s">
        <v>261</v>
      </c>
      <c r="G48" s="2" t="s">
        <v>18</v>
      </c>
      <c r="H48" s="2" t="s">
        <v>19</v>
      </c>
      <c r="I48" s="2" t="s">
        <v>262</v>
      </c>
      <c r="J48" s="1">
        <v>0.16</v>
      </c>
      <c r="K48" s="1">
        <v>0.16</v>
      </c>
      <c r="L48" s="1">
        <v>1567</v>
      </c>
    </row>
    <row r="49" spans="1:12" x14ac:dyDescent="0.25">
      <c r="A49" s="2" t="s">
        <v>263</v>
      </c>
      <c r="B49" s="2" t="s">
        <v>264</v>
      </c>
      <c r="C49" s="2" t="s">
        <v>265</v>
      </c>
      <c r="D49" s="1">
        <v>1</v>
      </c>
      <c r="E49" s="2" t="s">
        <v>204</v>
      </c>
      <c r="F49" s="2" t="s">
        <v>266</v>
      </c>
      <c r="G49" s="2" t="s">
        <v>18</v>
      </c>
      <c r="H49" s="2" t="s">
        <v>19</v>
      </c>
      <c r="I49" s="2" t="s">
        <v>267</v>
      </c>
      <c r="J49" s="1">
        <v>0.1</v>
      </c>
      <c r="K49" s="1">
        <v>0.1</v>
      </c>
      <c r="L49" s="1">
        <v>920730</v>
      </c>
    </row>
    <row r="50" spans="1:12" x14ac:dyDescent="0.25">
      <c r="A50" s="2" t="s">
        <v>268</v>
      </c>
      <c r="B50" s="2" t="s">
        <v>269</v>
      </c>
      <c r="C50" s="2" t="s">
        <v>270</v>
      </c>
      <c r="D50" s="1">
        <v>2</v>
      </c>
      <c r="E50" s="2" t="s">
        <v>231</v>
      </c>
      <c r="F50" s="2" t="s">
        <v>271</v>
      </c>
      <c r="G50" s="2" t="s">
        <v>18</v>
      </c>
      <c r="H50" s="2" t="s">
        <v>19</v>
      </c>
      <c r="I50" s="2" t="s">
        <v>272</v>
      </c>
      <c r="J50" s="1">
        <v>0.16</v>
      </c>
      <c r="K50" s="1">
        <v>0.32</v>
      </c>
      <c r="L50" s="1">
        <v>2904</v>
      </c>
    </row>
    <row r="51" spans="1:12" x14ac:dyDescent="0.25">
      <c r="A51" s="2" t="s">
        <v>273</v>
      </c>
      <c r="B51" s="2" t="s">
        <v>274</v>
      </c>
      <c r="C51" s="2" t="s">
        <v>275</v>
      </c>
      <c r="D51" s="1">
        <v>1</v>
      </c>
      <c r="E51" s="2" t="s">
        <v>276</v>
      </c>
      <c r="F51" s="2" t="s">
        <v>277</v>
      </c>
      <c r="G51" s="2" t="s">
        <v>18</v>
      </c>
      <c r="H51" s="2" t="s">
        <v>61</v>
      </c>
      <c r="I51" s="2" t="s">
        <v>278</v>
      </c>
      <c r="J51" s="1">
        <v>0.72</v>
      </c>
      <c r="K51" s="1">
        <v>0.72</v>
      </c>
      <c r="L51" s="1">
        <v>423</v>
      </c>
    </row>
    <row r="52" spans="1:12" x14ac:dyDescent="0.25">
      <c r="A52" s="2" t="s">
        <v>279</v>
      </c>
      <c r="B52" s="2" t="s">
        <v>280</v>
      </c>
      <c r="C52" s="2" t="s">
        <v>281</v>
      </c>
      <c r="D52" s="1">
        <v>2</v>
      </c>
      <c r="E52" s="2" t="s">
        <v>242</v>
      </c>
      <c r="F52" s="2" t="s">
        <v>282</v>
      </c>
      <c r="G52" s="2" t="s">
        <v>18</v>
      </c>
      <c r="H52" s="2" t="s">
        <v>19</v>
      </c>
      <c r="I52" s="2" t="s">
        <v>283</v>
      </c>
      <c r="J52" s="1">
        <v>2.5</v>
      </c>
      <c r="K52" s="1">
        <v>5</v>
      </c>
      <c r="L52" s="1">
        <v>6688</v>
      </c>
    </row>
    <row r="53" spans="1:12" x14ac:dyDescent="0.25">
      <c r="A53" s="2" t="s">
        <v>284</v>
      </c>
      <c r="B53" s="2" t="s">
        <v>285</v>
      </c>
      <c r="C53" s="2" t="s">
        <v>286</v>
      </c>
      <c r="D53" s="1">
        <v>1</v>
      </c>
      <c r="E53" s="2" t="s">
        <v>210</v>
      </c>
      <c r="F53" s="2" t="s">
        <v>287</v>
      </c>
      <c r="G53" s="2" t="s">
        <v>18</v>
      </c>
      <c r="H53" s="2" t="s">
        <v>61</v>
      </c>
      <c r="I53" s="2" t="s">
        <v>288</v>
      </c>
      <c r="J53" s="1">
        <v>0.26</v>
      </c>
      <c r="K53" s="1">
        <v>0.26</v>
      </c>
      <c r="L53" s="1">
        <v>6831</v>
      </c>
    </row>
    <row r="54" spans="1:12" x14ac:dyDescent="0.25">
      <c r="A54" s="2" t="s">
        <v>289</v>
      </c>
      <c r="B54" s="2" t="s">
        <v>290</v>
      </c>
      <c r="C54" s="2" t="s">
        <v>291</v>
      </c>
      <c r="D54" s="1">
        <v>7</v>
      </c>
      <c r="E54" s="1"/>
      <c r="F54" s="1"/>
      <c r="G54" s="1"/>
      <c r="H54" s="1"/>
      <c r="I54" s="1"/>
      <c r="J54" s="1"/>
      <c r="K54" s="1"/>
      <c r="L54" s="1"/>
    </row>
    <row r="55" spans="1:12" x14ac:dyDescent="0.25">
      <c r="A55" s="2" t="s">
        <v>292</v>
      </c>
      <c r="B55" s="2" t="s">
        <v>293</v>
      </c>
      <c r="C55" s="2" t="s">
        <v>294</v>
      </c>
      <c r="D55" s="1">
        <v>1</v>
      </c>
      <c r="E55" s="2" t="s">
        <v>295</v>
      </c>
      <c r="F55" s="2" t="s">
        <v>296</v>
      </c>
      <c r="G55" s="2" t="s">
        <v>18</v>
      </c>
      <c r="H55" s="2" t="s">
        <v>19</v>
      </c>
      <c r="I55" s="2" t="s">
        <v>297</v>
      </c>
      <c r="J55" s="1">
        <v>2.41</v>
      </c>
      <c r="K55" s="1">
        <v>2.41</v>
      </c>
      <c r="L55" s="1">
        <v>8880</v>
      </c>
    </row>
    <row r="56" spans="1:12" x14ac:dyDescent="0.25">
      <c r="A56" s="2" t="s">
        <v>298</v>
      </c>
      <c r="B56" s="2" t="s">
        <v>299</v>
      </c>
      <c r="C56" s="2" t="s">
        <v>300</v>
      </c>
      <c r="D56" s="1">
        <v>1</v>
      </c>
      <c r="E56" s="2" t="s">
        <v>301</v>
      </c>
      <c r="F56" s="2" t="s">
        <v>302</v>
      </c>
      <c r="G56" s="2" t="s">
        <v>18</v>
      </c>
      <c r="H56" s="2" t="s">
        <v>61</v>
      </c>
      <c r="I56" s="2" t="s">
        <v>303</v>
      </c>
      <c r="J56" s="1">
        <v>7.18</v>
      </c>
      <c r="K56" s="1">
        <v>7.18</v>
      </c>
      <c r="L56" s="1">
        <v>6537</v>
      </c>
    </row>
    <row r="57" spans="1:12" x14ac:dyDescent="0.25">
      <c r="A57" s="2" t="s">
        <v>304</v>
      </c>
      <c r="B57" s="2" t="s">
        <v>305</v>
      </c>
      <c r="C57" s="2" t="s">
        <v>306</v>
      </c>
      <c r="D57" s="1">
        <v>2</v>
      </c>
      <c r="E57" s="2" t="s">
        <v>301</v>
      </c>
      <c r="F57" s="2" t="s">
        <v>304</v>
      </c>
      <c r="G57" s="2" t="s">
        <v>18</v>
      </c>
      <c r="H57" s="2" t="s">
        <v>19</v>
      </c>
      <c r="I57" s="2" t="s">
        <v>307</v>
      </c>
      <c r="J57" s="1">
        <v>10.35</v>
      </c>
      <c r="K57" s="1">
        <v>20.7</v>
      </c>
      <c r="L57" s="1">
        <v>5326</v>
      </c>
    </row>
    <row r="58" spans="1:12" x14ac:dyDescent="0.25">
      <c r="A58" s="2" t="s">
        <v>308</v>
      </c>
      <c r="B58" s="2" t="s">
        <v>309</v>
      </c>
      <c r="C58" s="2" t="s">
        <v>310</v>
      </c>
      <c r="D58" s="1">
        <v>1</v>
      </c>
      <c r="E58" s="2" t="s">
        <v>105</v>
      </c>
      <c r="F58" s="2" t="s">
        <v>311</v>
      </c>
      <c r="G58" s="2" t="s">
        <v>312</v>
      </c>
      <c r="H58" s="2" t="s">
        <v>19</v>
      </c>
      <c r="I58" s="2" t="s">
        <v>313</v>
      </c>
      <c r="J58" s="1">
        <v>0.53</v>
      </c>
      <c r="K58" s="1">
        <v>0.53</v>
      </c>
      <c r="L58" s="1">
        <v>8562</v>
      </c>
    </row>
    <row r="59" spans="1:12" x14ac:dyDescent="0.25">
      <c r="A59" s="2" t="s">
        <v>314</v>
      </c>
      <c r="B59" s="2" t="s">
        <v>315</v>
      </c>
      <c r="C59" s="2" t="s">
        <v>316</v>
      </c>
      <c r="D59" s="1">
        <v>4</v>
      </c>
      <c r="E59" s="2" t="s">
        <v>317</v>
      </c>
      <c r="F59" s="2" t="s">
        <v>318</v>
      </c>
      <c r="G59" s="2" t="s">
        <v>18</v>
      </c>
      <c r="H59" s="2" t="s">
        <v>19</v>
      </c>
      <c r="I59" s="2" t="s">
        <v>319</v>
      </c>
      <c r="J59" s="1">
        <v>1.33</v>
      </c>
      <c r="K59" s="1">
        <v>5.32</v>
      </c>
      <c r="L59" s="1">
        <v>52964</v>
      </c>
    </row>
    <row r="60" spans="1:12" x14ac:dyDescent="0.25">
      <c r="A60" s="2" t="s">
        <v>320</v>
      </c>
      <c r="B60" s="2" t="s">
        <v>321</v>
      </c>
      <c r="C60" s="2" t="s">
        <v>322</v>
      </c>
      <c r="D60" s="1">
        <v>1</v>
      </c>
      <c r="E60" s="2" t="s">
        <v>323</v>
      </c>
      <c r="F60" s="2" t="s">
        <v>324</v>
      </c>
      <c r="G60" s="2" t="s">
        <v>55</v>
      </c>
      <c r="H60" s="2" t="s">
        <v>61</v>
      </c>
      <c r="I60" s="2" t="s">
        <v>325</v>
      </c>
      <c r="J60" s="1">
        <v>12.95</v>
      </c>
      <c r="K60" s="1">
        <v>12.95</v>
      </c>
      <c r="L60" s="1">
        <v>71</v>
      </c>
    </row>
    <row r="61" spans="1:12" x14ac:dyDescent="0.25">
      <c r="A61" s="2" t="s">
        <v>326</v>
      </c>
      <c r="B61" s="2" t="s">
        <v>327</v>
      </c>
      <c r="C61" s="2" t="s">
        <v>328</v>
      </c>
      <c r="D61" s="1">
        <v>1</v>
      </c>
      <c r="E61" s="2" t="s">
        <v>323</v>
      </c>
      <c r="F61" s="2" t="s">
        <v>329</v>
      </c>
      <c r="G61" s="2" t="s">
        <v>55</v>
      </c>
      <c r="H61" s="2" t="s">
        <v>19</v>
      </c>
      <c r="I61" s="2" t="s">
        <v>330</v>
      </c>
      <c r="J61" s="1">
        <v>12.5</v>
      </c>
      <c r="K61" s="1">
        <v>12.5</v>
      </c>
      <c r="L61" s="1">
        <v>59</v>
      </c>
    </row>
    <row r="62" spans="1:12" x14ac:dyDescent="0.25">
      <c r="A62" s="2" t="s">
        <v>331</v>
      </c>
      <c r="B62" s="2" t="s">
        <v>332</v>
      </c>
      <c r="C62" s="2" t="s">
        <v>333</v>
      </c>
      <c r="D62" s="1">
        <v>1</v>
      </c>
      <c r="E62" s="2" t="s">
        <v>100</v>
      </c>
      <c r="F62" s="2" t="s">
        <v>334</v>
      </c>
      <c r="G62" s="2" t="s">
        <v>18</v>
      </c>
      <c r="H62" s="2" t="s">
        <v>19</v>
      </c>
      <c r="I62" s="2" t="s">
        <v>335</v>
      </c>
      <c r="J62" s="1">
        <v>0.52</v>
      </c>
      <c r="K62" s="1">
        <v>0.52</v>
      </c>
      <c r="L62" s="1">
        <v>3958</v>
      </c>
    </row>
    <row r="63" spans="1:12" x14ac:dyDescent="0.25">
      <c r="A63" s="2" t="s">
        <v>336</v>
      </c>
      <c r="B63" s="2" t="s">
        <v>337</v>
      </c>
      <c r="C63" s="2" t="s">
        <v>338</v>
      </c>
      <c r="D63" s="1">
        <v>1</v>
      </c>
      <c r="E63" s="2" t="s">
        <v>242</v>
      </c>
      <c r="F63" s="2" t="s">
        <v>339</v>
      </c>
      <c r="G63" s="2" t="s">
        <v>18</v>
      </c>
      <c r="H63" s="2" t="s">
        <v>19</v>
      </c>
      <c r="I63" s="2" t="s">
        <v>340</v>
      </c>
      <c r="J63" s="1">
        <v>2.42</v>
      </c>
      <c r="K63" s="1">
        <v>2.42</v>
      </c>
      <c r="L63" s="1">
        <v>560</v>
      </c>
    </row>
    <row r="64" spans="1:12" x14ac:dyDescent="0.25">
      <c r="A64" s="2" t="s">
        <v>341</v>
      </c>
      <c r="B64" s="2" t="s">
        <v>342</v>
      </c>
      <c r="C64" s="2" t="s">
        <v>343</v>
      </c>
      <c r="D64" s="1">
        <v>1</v>
      </c>
      <c r="E64" s="2" t="s">
        <v>344</v>
      </c>
      <c r="F64" s="2" t="s">
        <v>345</v>
      </c>
      <c r="G64" s="2" t="s">
        <v>18</v>
      </c>
      <c r="H64" s="2" t="s">
        <v>61</v>
      </c>
      <c r="I64" s="2" t="s">
        <v>346</v>
      </c>
      <c r="J64" s="1">
        <v>2.94</v>
      </c>
      <c r="K64" s="1">
        <v>2.94</v>
      </c>
      <c r="L64" s="1">
        <v>2193</v>
      </c>
    </row>
    <row r="65" spans="1:12" x14ac:dyDescent="0.25">
      <c r="A65" s="2" t="s">
        <v>347</v>
      </c>
      <c r="B65" s="2" t="s">
        <v>348</v>
      </c>
      <c r="C65" s="2" t="s">
        <v>349</v>
      </c>
      <c r="D65" s="1">
        <v>1</v>
      </c>
      <c r="E65" s="2" t="s">
        <v>350</v>
      </c>
      <c r="F65" s="2" t="s">
        <v>347</v>
      </c>
      <c r="G65" s="2" t="s">
        <v>18</v>
      </c>
      <c r="H65" s="2" t="s">
        <v>19</v>
      </c>
      <c r="I65" s="2" t="s">
        <v>351</v>
      </c>
      <c r="J65" s="1">
        <v>0.43</v>
      </c>
      <c r="K65" s="1">
        <v>0.43</v>
      </c>
      <c r="L65" s="1">
        <v>122809</v>
      </c>
    </row>
    <row r="66" spans="1:12" x14ac:dyDescent="0.25">
      <c r="A66" s="2" t="s">
        <v>352</v>
      </c>
      <c r="B66" s="2" t="s">
        <v>353</v>
      </c>
      <c r="C66" s="2" t="s">
        <v>354</v>
      </c>
      <c r="D66" s="1">
        <v>1</v>
      </c>
      <c r="E66" s="2" t="s">
        <v>355</v>
      </c>
      <c r="F66" s="2" t="s">
        <v>356</v>
      </c>
      <c r="G66" s="2" t="s">
        <v>18</v>
      </c>
      <c r="H66" s="2" t="s">
        <v>19</v>
      </c>
      <c r="I66" s="2" t="s">
        <v>357</v>
      </c>
      <c r="J66" s="1">
        <v>0.56999999999999995</v>
      </c>
      <c r="K66" s="1">
        <v>0.56999999999999995</v>
      </c>
      <c r="L66" s="1">
        <v>12105</v>
      </c>
    </row>
    <row r="68" spans="1:12" x14ac:dyDescent="0.25">
      <c r="J68" t="s">
        <v>358</v>
      </c>
      <c r="K68">
        <f>SUM(K2:K66)</f>
        <v>192.16939999999991</v>
      </c>
      <c r="L68" t="s">
        <v>359</v>
      </c>
    </row>
  </sheetData>
  <conditionalFormatting sqref="G2:G66">
    <cfRule type="containsText" dxfId="1" priority="3" operator="containsText" text="Volume Production">
      <formula>NOT(ISERROR(SEARCH("Volume Production",G2)))</formula>
    </cfRule>
    <cfRule type="containsText" dxfId="3" priority="2" operator="containsText" text="End of Life">
      <formula>NOT(ISERROR(SEARCH("End of Life",G2)))</formula>
    </cfRule>
    <cfRule type="containsText" dxfId="2" priority="1" operator="containsText" text="Not Recommended for New Design">
      <formula>NOT(ISERROR(SEARCH("Not Recommended for New Design",G2)))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TSI_SAMP_SAMI_V3.4_updated</vt:lpstr>
      <vt:lpstr>TSI_SAMP_SAMI_V3.4_updated!Print_Titles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Biarki Weeks</dc:creator>
  <cp:lastModifiedBy>Biarki Weeks</cp:lastModifiedBy>
  <dcterms:created xsi:type="dcterms:W3CDTF">2025-11-05T20:43:31Z</dcterms:created>
  <dcterms:modified xsi:type="dcterms:W3CDTF">2025-11-05T20:53:12Z</dcterms:modified>
</cp:coreProperties>
</file>